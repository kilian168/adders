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e Carlo Summar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<sst xmlns="http://schemas.openxmlformats.org/spreadsheetml/2006/main" count="86" uniqueCount="20">
  <si>
    <t xml:space="preserve">Monte Carlo Simulation Results — Switching Activity, Delay &amp; Energy-Delay Product</t>
  </si>
  <si>
    <t xml:space="preserve">1,000,000 random samples per architecture/width. Avg. Switches is a direct simulation result; Delay and EDP are live formulas.</t>
  </si>
  <si>
    <t xml:space="preserve">2-bit</t>
  </si>
  <si>
    <t xml:space="preserve">Width (bits)</t>
  </si>
  <si>
    <t xml:space="preserve">Architecture</t>
  </si>
  <si>
    <t xml:space="preserve">Gates</t>
  </si>
  <si>
    <t xml:space="preserve">Avg. Switches</t>
  </si>
  <si>
    <t xml:space="preserve">Delay (ns)</t>
  </si>
  <si>
    <t xml:space="preserve">EDP</t>
  </si>
  <si>
    <t xml:space="preserve">RCA</t>
  </si>
  <si>
    <t xml:space="preserve">CLA</t>
  </si>
  <si>
    <t xml:space="preserve">TER</t>
  </si>
  <si>
    <t xml:space="preserve">SD/TC-PM</t>
  </si>
  <si>
    <t xml:space="preserve">SD/TC-PPM</t>
  </si>
  <si>
    <t xml:space="preserve">4-bit</t>
  </si>
  <si>
    <t xml:space="preserve">8-bit</t>
  </si>
  <si>
    <t xml:space="preserve">12-bit</t>
  </si>
  <si>
    <t xml:space="preserve">16-bit</t>
  </si>
  <si>
    <t xml:space="preserve">32-bit</t>
  </si>
  <si>
    <t xml:space="preserve">64-bit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</si>
</sst>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4C8A"/>
        <bgColor rgb="FF595959"/>
      </patternFill>
    </fill>
    <fill>
      <patternFill patternType="solid">
        <fgColor rgb="FF4472C4"/>
        <bgColor rgb="FF2E4C8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E4C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false" outlineLevel="0" collapsed="false">
      <c r="A6" s="5" t="n">
        <v>2</v>
      </c>
      <c r="B6" s="6" t="s">
        <v>9</v>
      </c>
      <c r="C6" s="5" t="n">
        <v>10</v>
      </c>
      <c r="D6" s="7" t="n">
        <v>4.44294</v>
      </c>
      <c r="E6" s="7" t="n">
        <f aca="false">A6</f>
        <v>2</v>
      </c>
      <c r="F6" s="8" t="n">
        <f aca="false">D6*E6</f>
        <v>8.88588</v>
      </c>
    </row>
    <row r="7" customFormat="false" ht="15" hidden="false" customHeight="false" outlineLevel="0" collapsed="false">
      <c r="A7" s="5" t="n">
        <v>2</v>
      </c>
      <c r="B7" s="6" t="s">
        <v>10</v>
      </c>
      <c r="C7" s="5" t="n">
        <v>13</v>
      </c>
      <c r="D7" s="7" t="n">
        <v>5.16216</v>
      </c>
      <c r="E7" s="7" t="n">
        <f aca="false">2+LOG(A7,2)</f>
        <v>3</v>
      </c>
      <c r="F7" s="8" t="n">
        <f aca="false">D7*E7</f>
        <v>15.48648</v>
      </c>
    </row>
    <row r="8" customFormat="false" ht="15" hidden="false" customHeight="false" outlineLevel="0" collapsed="false">
      <c r="A8" s="5" t="n">
        <v>2</v>
      </c>
      <c r="B8" s="6" t="s">
        <v>11</v>
      </c>
      <c r="C8" s="5" t="n">
        <v>24</v>
      </c>
      <c r="D8" s="7" t="n">
        <v>15.9289</v>
      </c>
      <c r="E8" s="7" t="n">
        <f aca="false">2</f>
        <v>2</v>
      </c>
      <c r="F8" s="8" t="n">
        <f aca="false">D8*E8</f>
        <v>31.8578</v>
      </c>
    </row>
    <row r="9" customFormat="false" ht="15" hidden="false" customHeight="false" outlineLevel="0" collapsed="false">
      <c r="A9" s="5" t="n">
        <v>2</v>
      </c>
      <c r="B9" s="6" t="s">
        <v>12</v>
      </c>
      <c r="C9" s="5" t="n">
        <v>15</v>
      </c>
      <c r="D9" s="7" t="n">
        <v>9.00055</v>
      </c>
      <c r="E9" s="7" t="n">
        <f aca="false">1</f>
        <v>1</v>
      </c>
      <c r="F9" s="8" t="n">
        <f aca="false">D9*E9</f>
        <v>9.00055</v>
      </c>
    </row>
    <row r="10" customFormat="false" ht="15" hidden="false" customHeight="false" outlineLevel="0" collapsed="false">
      <c r="A10" s="5" t="n">
        <v>2</v>
      </c>
      <c r="B10" s="6" t="s">
        <v>13</v>
      </c>
      <c r="C10" s="5" t="n">
        <v>11</v>
      </c>
      <c r="D10" s="7" t="n">
        <v>6.62624</v>
      </c>
      <c r="E10" s="7" t="n">
        <f aca="false">1</f>
        <v>1</v>
      </c>
      <c r="F10" s="8" t="n">
        <f aca="false">D10*E10</f>
        <v>6.62624</v>
      </c>
    </row>
    <row r="12" customFormat="false" ht="15" hidden="false" customHeight="false" outlineLevel="0" collapsed="false">
      <c r="A12" s="3" t="s">
        <v>14</v>
      </c>
      <c r="B12" s="3"/>
      <c r="C12" s="3"/>
      <c r="D12" s="3"/>
      <c r="E12" s="3"/>
      <c r="F12" s="3"/>
    </row>
    <row r="13" customFormat="false" ht="15" hidden="false" customHeight="false" outlineLevel="0" collapsed="false">
      <c r="A13" s="4" t="s">
        <v>3</v>
      </c>
      <c r="B13" s="4" t="s">
        <v>4</v>
      </c>
      <c r="C13" s="4" t="s">
        <v>5</v>
      </c>
      <c r="D13" s="4" t="s">
        <v>6</v>
      </c>
      <c r="E13" s="4" t="s">
        <v>7</v>
      </c>
      <c r="F13" s="4" t="s">
        <v>8</v>
      </c>
    </row>
    <row r="14" customFormat="false" ht="15" hidden="false" customHeight="false" outlineLevel="0" collapsed="false">
      <c r="A14" s="5" t="n">
        <v>4</v>
      </c>
      <c r="B14" s="6" t="s">
        <v>9</v>
      </c>
      <c r="C14" s="5" t="n">
        <v>20</v>
      </c>
      <c r="D14" s="7" t="n">
        <v>11.3699</v>
      </c>
      <c r="E14" s="7" t="n">
        <f aca="false">A14</f>
        <v>4</v>
      </c>
      <c r="F14" s="8" t="n">
        <f aca="false">D14*E14</f>
        <v>45.4796</v>
      </c>
    </row>
    <row r="15" customFormat="false" ht="15" hidden="false" customHeight="false" outlineLevel="0" collapsed="false">
      <c r="A15" s="5" t="n">
        <v>4</v>
      </c>
      <c r="B15" s="6" t="s">
        <v>10</v>
      </c>
      <c r="C15" s="5" t="n">
        <v>38</v>
      </c>
      <c r="D15" s="7" t="n">
        <v>15.9561</v>
      </c>
      <c r="E15" s="7" t="n">
        <f aca="false">2+LOG(A15,2)</f>
        <v>4</v>
      </c>
      <c r="F15" s="8" t="n">
        <f aca="false">D15*E15</f>
        <v>63.8244</v>
      </c>
    </row>
    <row r="16" customFormat="false" ht="15" hidden="false" customHeight="false" outlineLevel="0" collapsed="false">
      <c r="A16" s="5" t="n">
        <v>4</v>
      </c>
      <c r="B16" s="6" t="s">
        <v>11</v>
      </c>
      <c r="C16" s="5" t="n">
        <v>48</v>
      </c>
      <c r="D16" s="7" t="n">
        <v>31.798</v>
      </c>
      <c r="E16" s="7" t="n">
        <f aca="false">2</f>
        <v>2</v>
      </c>
      <c r="F16" s="8" t="n">
        <f aca="false">D16*E16</f>
        <v>63.596</v>
      </c>
    </row>
    <row r="17" customFormat="false" ht="15" hidden="false" customHeight="false" outlineLevel="0" collapsed="false">
      <c r="A17" s="5" t="n">
        <v>4</v>
      </c>
      <c r="B17" s="6" t="s">
        <v>12</v>
      </c>
      <c r="C17" s="5" t="n">
        <v>29</v>
      </c>
      <c r="D17" s="7" t="n">
        <v>17.4972</v>
      </c>
      <c r="E17" s="7" t="n">
        <f aca="false">1</f>
        <v>1</v>
      </c>
      <c r="F17" s="8" t="n">
        <f aca="false">D17*E17</f>
        <v>17.4972</v>
      </c>
    </row>
    <row r="18" customFormat="false" ht="15" hidden="false" customHeight="false" outlineLevel="0" collapsed="false">
      <c r="A18" s="5" t="n">
        <v>4</v>
      </c>
      <c r="B18" s="6" t="s">
        <v>13</v>
      </c>
      <c r="C18" s="5" t="n">
        <v>21</v>
      </c>
      <c r="D18" s="7" t="n">
        <v>12.7544</v>
      </c>
      <c r="E18" s="7" t="n">
        <f aca="false">1</f>
        <v>1</v>
      </c>
      <c r="F18" s="8" t="n">
        <f aca="false">D18*E18</f>
        <v>12.7544</v>
      </c>
    </row>
    <row r="20" customFormat="false" ht="15" hidden="false" customHeight="false" outlineLevel="0" collapsed="false">
      <c r="A20" s="3" t="s">
        <v>15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4" t="s">
        <v>3</v>
      </c>
      <c r="B21" s="4" t="s">
        <v>4</v>
      </c>
      <c r="C21" s="4" t="s">
        <v>5</v>
      </c>
      <c r="D21" s="4" t="s">
        <v>6</v>
      </c>
      <c r="E21" s="4" t="s">
        <v>7</v>
      </c>
      <c r="F21" s="4" t="s">
        <v>8</v>
      </c>
    </row>
    <row r="22" customFormat="false" ht="15" hidden="false" customHeight="false" outlineLevel="0" collapsed="false">
      <c r="A22" s="5" t="n">
        <v>8</v>
      </c>
      <c r="B22" s="6" t="s">
        <v>9</v>
      </c>
      <c r="C22" s="5" t="n">
        <v>40</v>
      </c>
      <c r="D22" s="7" t="n">
        <v>27.3008</v>
      </c>
      <c r="E22" s="7" t="n">
        <f aca="false">A22</f>
        <v>8</v>
      </c>
      <c r="F22" s="8" t="n">
        <f aca="false">D22*E22</f>
        <v>218.4064</v>
      </c>
    </row>
    <row r="23" customFormat="false" ht="15" hidden="false" customHeight="false" outlineLevel="0" collapsed="false">
      <c r="A23" s="5" t="n">
        <v>8</v>
      </c>
      <c r="B23" s="6" t="s">
        <v>10</v>
      </c>
      <c r="C23" s="5" t="n">
        <v>83</v>
      </c>
      <c r="D23" s="7" t="n">
        <v>37.9229</v>
      </c>
      <c r="E23" s="7" t="n">
        <f aca="false">2+LOG(A23,2)</f>
        <v>5</v>
      </c>
      <c r="F23" s="8" t="n">
        <f aca="false">D23*E23</f>
        <v>189.6145</v>
      </c>
    </row>
    <row r="24" customFormat="false" ht="15" hidden="false" customHeight="false" outlineLevel="0" collapsed="false">
      <c r="A24" s="5" t="n">
        <v>8</v>
      </c>
      <c r="B24" s="6" t="s">
        <v>11</v>
      </c>
      <c r="C24" s="5" t="n">
        <v>96</v>
      </c>
      <c r="D24" s="7" t="n">
        <v>63.5398</v>
      </c>
      <c r="E24" s="7" t="n">
        <f aca="false">2</f>
        <v>2</v>
      </c>
      <c r="F24" s="8" t="n">
        <f aca="false">D24*E24</f>
        <v>127.0796</v>
      </c>
    </row>
    <row r="25" customFormat="false" ht="15" hidden="false" customHeight="false" outlineLevel="0" collapsed="false">
      <c r="A25" s="5" t="n">
        <v>8</v>
      </c>
      <c r="B25" s="6" t="s">
        <v>12</v>
      </c>
      <c r="C25" s="5" t="n">
        <v>57</v>
      </c>
      <c r="D25" s="7" t="n">
        <v>34.5072</v>
      </c>
      <c r="E25" s="7" t="n">
        <f aca="false">1</f>
        <v>1</v>
      </c>
      <c r="F25" s="8" t="n">
        <f aca="false">D25*E25</f>
        <v>34.5072</v>
      </c>
    </row>
    <row r="26" customFormat="false" ht="15" hidden="false" customHeight="false" outlineLevel="0" collapsed="false">
      <c r="A26" s="5" t="n">
        <v>8</v>
      </c>
      <c r="B26" s="6" t="s">
        <v>13</v>
      </c>
      <c r="C26" s="5" t="n">
        <v>41</v>
      </c>
      <c r="D26" s="7" t="n">
        <v>25.0005</v>
      </c>
      <c r="E26" s="7" t="n">
        <f aca="false">1</f>
        <v>1</v>
      </c>
      <c r="F26" s="8" t="n">
        <f aca="false">D26*E26</f>
        <v>25.0005</v>
      </c>
    </row>
    <row r="28" customFormat="false" ht="15" hidden="false" customHeight="false" outlineLevel="0" collapsed="false">
      <c r="A28" s="3" t="s">
        <v>16</v>
      </c>
      <c r="B28" s="3"/>
      <c r="C28" s="3"/>
      <c r="D28" s="3"/>
      <c r="E28" s="3"/>
      <c r="F28" s="3"/>
    </row>
    <row r="29" customFormat="false" ht="15" hidden="false" customHeight="false" outlineLevel="0" collapsed="false">
      <c r="A29" s="4" t="s">
        <v>3</v>
      </c>
      <c r="B29" s="4" t="s">
        <v>4</v>
      </c>
      <c r="C29" s="4" t="s">
        <v>5</v>
      </c>
      <c r="D29" s="4" t="s">
        <v>6</v>
      </c>
      <c r="E29" s="4" t="s">
        <v>7</v>
      </c>
      <c r="F29" s="4" t="s">
        <v>8</v>
      </c>
    </row>
    <row r="30" customFormat="false" ht="15" hidden="false" customHeight="false" outlineLevel="0" collapsed="false">
      <c r="A30" s="5" t="n">
        <v>12</v>
      </c>
      <c r="B30" s="6" t="s">
        <v>9</v>
      </c>
      <c r="C30" s="5" t="n">
        <v>60</v>
      </c>
      <c r="D30" s="7" t="n">
        <v>43.7435</v>
      </c>
      <c r="E30" s="7" t="n">
        <f aca="false">A30</f>
        <v>12</v>
      </c>
      <c r="F30" s="8" t="n">
        <f aca="false">D30*E30</f>
        <v>524.922</v>
      </c>
    </row>
    <row r="31" customFormat="false" ht="15" hidden="false" customHeight="false" outlineLevel="0" collapsed="false">
      <c r="A31" s="5" t="n">
        <v>12</v>
      </c>
      <c r="B31" s="6" t="s">
        <v>10</v>
      </c>
      <c r="C31" s="5" t="n">
        <v>126</v>
      </c>
      <c r="D31" s="7" t="n">
        <v>59.4703</v>
      </c>
      <c r="E31" s="7" t="n">
        <f aca="false">2+LOG(A31,2)</f>
        <v>5.58496250072116</v>
      </c>
      <c r="F31" s="8" t="n">
        <f aca="false">D31*E31</f>
        <v>332.139395406637</v>
      </c>
    </row>
    <row r="32" customFormat="false" ht="15" hidden="false" customHeight="false" outlineLevel="0" collapsed="false">
      <c r="A32" s="5" t="n">
        <v>12</v>
      </c>
      <c r="B32" s="6" t="s">
        <v>11</v>
      </c>
      <c r="C32" s="5" t="n">
        <v>144</v>
      </c>
      <c r="D32" s="7" t="n">
        <v>95.3008</v>
      </c>
      <c r="E32" s="7" t="n">
        <f aca="false">2</f>
        <v>2</v>
      </c>
      <c r="F32" s="8" t="n">
        <f aca="false">D32*E32</f>
        <v>190.6016</v>
      </c>
    </row>
    <row r="33" customFormat="false" ht="15" hidden="false" customHeight="false" outlineLevel="0" collapsed="false">
      <c r="A33" s="5" t="n">
        <v>12</v>
      </c>
      <c r="B33" s="6" t="s">
        <v>12</v>
      </c>
      <c r="C33" s="5" t="n">
        <v>85</v>
      </c>
      <c r="D33" s="7" t="n">
        <v>51.5058</v>
      </c>
      <c r="E33" s="7" t="n">
        <f aca="false">1</f>
        <v>1</v>
      </c>
      <c r="F33" s="8" t="n">
        <f aca="false">D33*E33</f>
        <v>51.5058</v>
      </c>
    </row>
    <row r="34" customFormat="false" ht="15" hidden="false" customHeight="false" outlineLevel="0" collapsed="false">
      <c r="A34" s="5" t="n">
        <v>12</v>
      </c>
      <c r="B34" s="6" t="s">
        <v>13</v>
      </c>
      <c r="C34" s="5" t="n">
        <v>61</v>
      </c>
      <c r="D34" s="7" t="n">
        <v>37.2497</v>
      </c>
      <c r="E34" s="7" t="n">
        <f aca="false">1</f>
        <v>1</v>
      </c>
      <c r="F34" s="8" t="n">
        <f aca="false">D34*E34</f>
        <v>37.2497</v>
      </c>
    </row>
    <row r="36" customFormat="false" ht="15" hidden="false" customHeight="false" outlineLevel="0" collapsed="false">
      <c r="A36" s="3" t="s">
        <v>17</v>
      </c>
      <c r="B36" s="3"/>
      <c r="C36" s="3"/>
      <c r="D36" s="3"/>
      <c r="E36" s="3"/>
      <c r="F36" s="3"/>
    </row>
    <row r="37" customFormat="false" ht="15" hidden="false" customHeight="false" outlineLevel="0" collapsed="false">
      <c r="A37" s="4" t="s">
        <v>3</v>
      </c>
      <c r="B37" s="4" t="s">
        <v>4</v>
      </c>
      <c r="C37" s="4" t="s">
        <v>5</v>
      </c>
      <c r="D37" s="4" t="s">
        <v>6</v>
      </c>
      <c r="E37" s="4" t="s">
        <v>7</v>
      </c>
      <c r="F37" s="4" t="s">
        <v>8</v>
      </c>
    </row>
    <row r="38" customFormat="false" ht="15" hidden="false" customHeight="false" outlineLevel="0" collapsed="false">
      <c r="A38" s="5" t="n">
        <v>16</v>
      </c>
      <c r="B38" s="6" t="s">
        <v>9</v>
      </c>
      <c r="C38" s="5" t="n">
        <v>80</v>
      </c>
      <c r="D38" s="7" t="n">
        <v>60.2314</v>
      </c>
      <c r="E38" s="7" t="n">
        <f aca="false">A38</f>
        <v>16</v>
      </c>
      <c r="F38" s="8" t="n">
        <f aca="false">D38*E38</f>
        <v>963.7024</v>
      </c>
    </row>
    <row r="39" customFormat="false" ht="15" hidden="false" customHeight="false" outlineLevel="0" collapsed="false">
      <c r="A39" s="5" t="n">
        <v>16</v>
      </c>
      <c r="B39" s="6" t="s">
        <v>10</v>
      </c>
      <c r="C39" s="5" t="n">
        <v>169</v>
      </c>
      <c r="D39" s="7" t="n">
        <v>81.0423</v>
      </c>
      <c r="E39" s="7" t="n">
        <f aca="false">2+LOG(A39,2)</f>
        <v>6</v>
      </c>
      <c r="F39" s="8" t="n">
        <f aca="false">D39*E39</f>
        <v>486.2538</v>
      </c>
    </row>
    <row r="40" customFormat="false" ht="15" hidden="false" customHeight="false" outlineLevel="0" collapsed="false">
      <c r="A40" s="5" t="n">
        <v>16</v>
      </c>
      <c r="B40" s="6" t="s">
        <v>11</v>
      </c>
      <c r="C40" s="5" t="n">
        <v>192</v>
      </c>
      <c r="D40" s="7" t="n">
        <v>127.022</v>
      </c>
      <c r="E40" s="7" t="n">
        <f aca="false">2</f>
        <v>2</v>
      </c>
      <c r="F40" s="8" t="n">
        <f aca="false">D40*E40</f>
        <v>254.044</v>
      </c>
    </row>
    <row r="41" customFormat="false" ht="15" hidden="false" customHeight="false" outlineLevel="0" collapsed="false">
      <c r="A41" s="5" t="n">
        <v>16</v>
      </c>
      <c r="B41" s="6" t="s">
        <v>12</v>
      </c>
      <c r="C41" s="5" t="n">
        <v>113</v>
      </c>
      <c r="D41" s="7" t="n">
        <v>68.5031</v>
      </c>
      <c r="E41" s="7" t="n">
        <f aca="false">1</f>
        <v>1</v>
      </c>
      <c r="F41" s="8" t="n">
        <f aca="false">D41*E41</f>
        <v>68.5031</v>
      </c>
    </row>
    <row r="42" customFormat="false" ht="15" hidden="false" customHeight="false" outlineLevel="0" collapsed="false">
      <c r="A42" s="5" t="n">
        <v>16</v>
      </c>
      <c r="B42" s="6" t="s">
        <v>13</v>
      </c>
      <c r="C42" s="5" t="n">
        <v>81</v>
      </c>
      <c r="D42" s="7" t="n">
        <v>49.4987</v>
      </c>
      <c r="E42" s="7" t="n">
        <f aca="false">1</f>
        <v>1</v>
      </c>
      <c r="F42" s="8" t="n">
        <f aca="false">D42*E42</f>
        <v>49.4987</v>
      </c>
    </row>
    <row r="44" customFormat="false" ht="15" hidden="false" customHeight="false" outlineLevel="0" collapsed="false">
      <c r="A44" s="3" t="s">
        <v>18</v>
      </c>
      <c r="B44" s="3"/>
      <c r="C44" s="3"/>
      <c r="D44" s="3"/>
      <c r="E44" s="3"/>
      <c r="F44" s="3"/>
    </row>
    <row r="45" customFormat="false" ht="15" hidden="false" customHeight="false" outlineLevel="0" collapsed="false">
      <c r="A45" s="4" t="s">
        <v>3</v>
      </c>
      <c r="B45" s="4" t="s">
        <v>4</v>
      </c>
      <c r="C45" s="4" t="s">
        <v>5</v>
      </c>
      <c r="D45" s="4" t="s">
        <v>6</v>
      </c>
      <c r="E45" s="4" t="s">
        <v>7</v>
      </c>
      <c r="F45" s="4" t="s">
        <v>8</v>
      </c>
    </row>
    <row r="46" customFormat="false" ht="15" hidden="false" customHeight="false" outlineLevel="0" collapsed="false">
      <c r="A46" s="5" t="n">
        <v>32</v>
      </c>
      <c r="B46" s="6" t="s">
        <v>9</v>
      </c>
      <c r="C46" s="5" t="n">
        <v>160</v>
      </c>
      <c r="D46" s="7" t="n">
        <v>126.212</v>
      </c>
      <c r="E46" s="7" t="n">
        <f aca="false">A46</f>
        <v>32</v>
      </c>
      <c r="F46" s="8" t="n">
        <f aca="false">D46*E46</f>
        <v>4038.784</v>
      </c>
    </row>
    <row r="47" customFormat="false" ht="15" hidden="false" customHeight="false" outlineLevel="0" collapsed="false">
      <c r="A47" s="5" t="n">
        <v>32</v>
      </c>
      <c r="B47" s="6" t="s">
        <v>10</v>
      </c>
      <c r="C47" s="5" t="n">
        <v>341</v>
      </c>
      <c r="D47" s="7" t="n">
        <v>167.348</v>
      </c>
      <c r="E47" s="7" t="n">
        <f aca="false">2+LOG(A47,2)</f>
        <v>7</v>
      </c>
      <c r="F47" s="8" t="n">
        <f aca="false">D47*E47</f>
        <v>1171.436</v>
      </c>
    </row>
    <row r="48" customFormat="false" ht="15" hidden="false" customHeight="false" outlineLevel="0" collapsed="false">
      <c r="A48" s="5" t="n">
        <v>32</v>
      </c>
      <c r="B48" s="6" t="s">
        <v>11</v>
      </c>
      <c r="C48" s="5" t="n">
        <v>384</v>
      </c>
      <c r="D48" s="7" t="n">
        <v>253.994</v>
      </c>
      <c r="E48" s="7" t="n">
        <f aca="false">2</f>
        <v>2</v>
      </c>
      <c r="F48" s="8" t="n">
        <f aca="false">D48*E48</f>
        <v>507.988</v>
      </c>
    </row>
    <row r="49" customFormat="false" ht="15" hidden="false" customHeight="false" outlineLevel="0" collapsed="false">
      <c r="A49" s="5" t="n">
        <v>32</v>
      </c>
      <c r="B49" s="6" t="s">
        <v>12</v>
      </c>
      <c r="C49" s="5" t="n">
        <v>225</v>
      </c>
      <c r="D49" s="7" t="n">
        <v>136.5</v>
      </c>
      <c r="E49" s="7" t="n">
        <f aca="false">1</f>
        <v>1</v>
      </c>
      <c r="F49" s="8" t="n">
        <f aca="false">D49*E49</f>
        <v>136.5</v>
      </c>
    </row>
    <row r="50" customFormat="false" ht="15" hidden="false" customHeight="false" outlineLevel="0" collapsed="false">
      <c r="A50" s="5" t="n">
        <v>32</v>
      </c>
      <c r="B50" s="6" t="s">
        <v>13</v>
      </c>
      <c r="C50" s="5" t="n">
        <v>161</v>
      </c>
      <c r="D50" s="7" t="n">
        <v>98.5121</v>
      </c>
      <c r="E50" s="7" t="n">
        <f aca="false">1</f>
        <v>1</v>
      </c>
      <c r="F50" s="8" t="n">
        <f aca="false">D50*E50</f>
        <v>98.5121</v>
      </c>
    </row>
    <row r="52" customFormat="false" ht="15" hidden="false" customHeight="false" outlineLevel="0" collapsed="false">
      <c r="A52" s="3" t="s">
        <v>19</v>
      </c>
      <c r="B52" s="3"/>
      <c r="C52" s="3"/>
      <c r="D52" s="3"/>
      <c r="E52" s="3"/>
      <c r="F52" s="3"/>
    </row>
    <row r="53" customFormat="false" ht="15" hidden="false" customHeight="false" outlineLevel="0" collapsed="false">
      <c r="A53" s="4" t="s">
        <v>3</v>
      </c>
      <c r="B53" s="4" t="s">
        <v>4</v>
      </c>
      <c r="C53" s="4" t="s">
        <v>5</v>
      </c>
      <c r="D53" s="4" t="s">
        <v>6</v>
      </c>
      <c r="E53" s="4" t="s">
        <v>7</v>
      </c>
      <c r="F53" s="4" t="s">
        <v>8</v>
      </c>
    </row>
    <row r="54" customFormat="false" ht="15" hidden="false" customHeight="false" outlineLevel="0" collapsed="false">
      <c r="A54" s="5" t="n">
        <v>64</v>
      </c>
      <c r="B54" s="6" t="s">
        <v>9</v>
      </c>
      <c r="C54" s="5" t="n">
        <v>320</v>
      </c>
      <c r="D54" s="7" t="n">
        <v>258.176</v>
      </c>
      <c r="E54" s="7" t="n">
        <f aca="false">A54</f>
        <v>64</v>
      </c>
      <c r="F54" s="8" t="n">
        <f aca="false">D54*E54</f>
        <v>16523.264</v>
      </c>
    </row>
    <row r="55" customFormat="false" ht="15" hidden="false" customHeight="false" outlineLevel="0" collapsed="false">
      <c r="A55" s="5" t="n">
        <v>64</v>
      </c>
      <c r="B55" s="6" t="s">
        <v>10</v>
      </c>
      <c r="C55" s="5" t="n">
        <v>685</v>
      </c>
      <c r="D55" s="7" t="n">
        <v>339.971</v>
      </c>
      <c r="E55" s="7" t="n">
        <f aca="false">2+LOG(A55,2)</f>
        <v>8</v>
      </c>
      <c r="F55" s="8" t="n">
        <f aca="false">D55*E55</f>
        <v>2719.768</v>
      </c>
    </row>
    <row r="56" customFormat="false" ht="15" hidden="false" customHeight="false" outlineLevel="0" collapsed="false">
      <c r="A56" s="5" t="n">
        <v>64</v>
      </c>
      <c r="B56" s="6" t="s">
        <v>11</v>
      </c>
      <c r="C56" s="5" t="n">
        <v>768</v>
      </c>
      <c r="D56" s="7" t="n">
        <v>507.963</v>
      </c>
      <c r="E56" s="7" t="n">
        <f aca="false">2</f>
        <v>2</v>
      </c>
      <c r="F56" s="8" t="n">
        <f aca="false">D56*E56</f>
        <v>1015.926</v>
      </c>
    </row>
    <row r="57" customFormat="false" ht="15" hidden="false" customHeight="false" outlineLevel="0" collapsed="false">
      <c r="A57" s="5" t="n">
        <v>64</v>
      </c>
      <c r="B57" s="6" t="s">
        <v>12</v>
      </c>
      <c r="C57" s="5" t="n">
        <v>449</v>
      </c>
      <c r="D57" s="7" t="n">
        <v>272.514</v>
      </c>
      <c r="E57" s="7" t="n">
        <f aca="false">1</f>
        <v>1</v>
      </c>
      <c r="F57" s="8" t="n">
        <f aca="false">D57*E57</f>
        <v>272.514</v>
      </c>
    </row>
    <row r="58" customFormat="false" ht="15" hidden="false" customHeight="false" outlineLevel="0" collapsed="false">
      <c r="A58" s="5" t="n">
        <v>64</v>
      </c>
      <c r="B58" s="6" t="s">
        <v>13</v>
      </c>
      <c r="C58" s="5" t="n">
        <v>321</v>
      </c>
      <c r="D58" s="7" t="n">
        <v>196.508</v>
      </c>
      <c r="E58" s="7" t="n">
        <f aca="false">1</f>
        <v>1</v>
      </c>
      <c r="F58" s="8" t="n">
        <f aca="false">D58*E58</f>
        <v>196.508</v>
      </c>
    </row>
  </sheetData>
  <mergeCells count="9">
    <mergeCell ref="A1:F1"/>
    <mergeCell ref="A2:F2"/>
    <mergeCell ref="A4:F4"/>
    <mergeCell ref="A12:F12"/>
    <mergeCell ref="A20:F20"/>
    <mergeCell ref="A28:F28"/>
    <mergeCell ref="A36:F36"/>
    <mergeCell ref="A44:F44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2026-10-20T00:20:34Z</dcterms:created>
  <dc:creator>openpyxl</dc:creator>
  <dc:description/>
  <dc:language>en-US</dc:language>
  <cp:lastModifiedBy/>
  <dcterms:modified xsi:type="dcterms:W3CDTF">2026-10-20T00:20:34Z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